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arek\Downloads\"/>
    </mc:Choice>
  </mc:AlternateContent>
  <xr:revisionPtr revIDLastSave="0" documentId="8_{837A0F5D-7963-4954-9BF9-EFA5183E62D9}" xr6:coauthVersionLast="47" xr6:coauthVersionMax="47" xr10:uidLastSave="{00000000-0000-0000-0000-000000000000}"/>
  <bookViews>
    <workbookView xWindow="-120" yWindow="-120" windowWidth="29040" windowHeight="15720" xr2:uid="{3318E581-0A42-4AED-9887-20D80EC96848}"/>
  </bookViews>
  <sheets>
    <sheet name="Dashboard" sheetId="4" r:id="rId1"/>
    <sheet name="Отчет-MetaAds-1-2026-м" sheetId="2" r:id="rId2"/>
    <sheet name="Pivot Table" sheetId="3" r:id="rId3"/>
  </sheets>
  <definedNames>
    <definedName name="ExternalData_1" localSheetId="1" hidden="1">'Отчет-MetaAds-1-2026-м'!$A$1:$R$12</definedName>
    <definedName name="Slicer_Sum_of_Начата_переписка">#N/A</definedName>
    <definedName name="Slicer_Sum_of_Цена_за_результат">#N/A</definedName>
  </definedNames>
  <calcPr calcId="191029"/>
  <pivotCaches>
    <pivotCache cacheId="8"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AA2CA2-4CEB-4962-A818-DFD2E665E2D6}" keepAlive="1" name="Query - Отчет-без-названия-янв-1-2026-мая-28-2026 (4)" description="Connection to the 'Отчет-без-названия-янв-1-2026-мая-28-2026 (4)' query in the workbook." type="5" refreshedVersion="8" background="1" saveData="1">
    <dbPr connection="Provider=Microsoft.Mashup.OleDb.1;Data Source=$Workbook$;Location=&quot;Отчет-без-названия-янв-1-2026-мая-28-2026 (4)&quot;;Extended Properties=&quot;&quot;" command="SELECT * FROM [Отчет-без-названия-янв-1-2026-мая-28-2026 (4)]"/>
  </connection>
</connections>
</file>

<file path=xl/sharedStrings.xml><?xml version="1.0" encoding="utf-8"?>
<sst xmlns="http://schemas.openxmlformats.org/spreadsheetml/2006/main" count="81" uniqueCount="46">
  <si>
    <t>Название объявления</t>
  </si>
  <si>
    <t>Охват</t>
  </si>
  <si>
    <t>Показы</t>
  </si>
  <si>
    <t>Частота</t>
  </si>
  <si>
    <t>Тип результата</t>
  </si>
  <si>
    <t>Цена за результат</t>
  </si>
  <si>
    <t>Начало</t>
  </si>
  <si>
    <t>Конец</t>
  </si>
  <si>
    <t>CPC (цена за клик по ссылке)</t>
  </si>
  <si>
    <t>CPM (цена за 1 000 показов)</t>
  </si>
  <si>
    <t>CTR (все)</t>
  </si>
  <si>
    <t>Клики по ссылке</t>
  </si>
  <si>
    <t>Начата переписка</t>
  </si>
  <si>
    <t>Цена за контакт по переписке</t>
  </si>
  <si>
    <t>Результат</t>
  </si>
  <si>
    <t>Потраченная сумма (USD)</t>
  </si>
  <si>
    <t>Дата начала отчетности</t>
  </si>
  <si>
    <t>Окончание отчетности</t>
  </si>
  <si>
    <t/>
  </si>
  <si>
    <t>mixed</t>
  </si>
  <si>
    <t>Публикация: "Կրծքերի չափերի, մեծացում, փոքրացում և ձգում, | ✆..."</t>
  </si>
  <si>
    <t>Публикация: "Հարթ ու ձիգ որովայն մեկ քայլով | ✆ 091 40 72 66"</t>
  </si>
  <si>
    <t>Публикация: "Երբ  արդյունքը գերազանցում է բոլոր սպասումները 🤍"</t>
  </si>
  <si>
    <t>Публикация: "Ճիշտ ժամանակն է ✅"</t>
  </si>
  <si>
    <t>Публикация: "Կրծքերի մեծացման նպատակն է ստեղծել այնպիսի ձև և..."</t>
  </si>
  <si>
    <t>Row Labels</t>
  </si>
  <si>
    <t>Grand Total</t>
  </si>
  <si>
    <t>Sum of Цена за результат</t>
  </si>
  <si>
    <t>Sum of Начата переписка</t>
  </si>
  <si>
    <t>Jan</t>
  </si>
  <si>
    <t>Feb</t>
  </si>
  <si>
    <t>Mar</t>
  </si>
  <si>
    <t>Apr</t>
  </si>
  <si>
    <t>May</t>
  </si>
  <si>
    <t>14-Jan</t>
  </si>
  <si>
    <t>30-Jan</t>
  </si>
  <si>
    <t>18-Feb</t>
  </si>
  <si>
    <t>5-Mar</t>
  </si>
  <si>
    <t>18-Mar</t>
  </si>
  <si>
    <t>2-Apr</t>
  </si>
  <si>
    <t>16-Apr</t>
  </si>
  <si>
    <t>2-May</t>
  </si>
  <si>
    <t>18-May</t>
  </si>
  <si>
    <t>21-May</t>
  </si>
  <si>
    <t>Sum of Потраченная сумма (USD)</t>
  </si>
  <si>
    <t>Surgi Marketing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</si>
</sst>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00"/>
  </numFmts>
  <fonts count="2" x14ac:knownFonts="1">
    <font>
      <sz val="11"/>
      <color theme="1"/>
      <name val="Aptos Narrow"/>
      <family val="2"/>
      <scheme val="minor"/>
    </font>
    <font>
      <sz val="22"/>
      <color theme="0"/>
      <name val="Aptos Narrow"/>
      <family val="2"/>
      <scheme val="minor"/>
    </font>
  </fonts>
  <fills count="3">
    <fill>
      <patternFill patternType="none"/>
    </fill>
    <fill>
      <patternFill patternType="gray125"/>
    </fill>
    <fill>
      <patternFill patternType="solid">
        <fgColor theme="3" tint="0.49998474074526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cellXfs>
  <cellStyles count="1">
    <cellStyle name="Normal" xfId="0" builtinId="0"/>
  </cellStyles>
  <dxfs count="7">
    <dxf>
      <numFmt numFmtId="166" formatCode="&quot;$&quot;#,##0.00"/>
    </dxf>
    <dxf>
      <numFmt numFmtId="19" formatCode="m/d/yyyy"/>
    </dxf>
    <dxf>
      <numFmt numFmtId="19" formatCode="m/d/yyyy"/>
    </dxf>
    <dxf>
      <numFmt numFmtId="19" formatCode="m/d/yyyy"/>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Sum Amount spent </a:t>
            </a:r>
            <a:r>
              <a:rPr lang="ru-RU"/>
              <a:t>(</a:t>
            </a:r>
            <a:r>
              <a:rPr lang="en-US"/>
              <a:t>USD)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Table'!$F$3</c:f>
              <c:strCache>
                <c:ptCount val="1"/>
                <c:pt idx="0">
                  <c:v>Sum of Потраченная сумма (USD)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Table'!$E$4:$E$18</c:f>
              <c:strCache>
                <c:ptCount val="15"/>
                <c:pt idx="0">
                  <c:v>Jan</c:v>
                </c:pt>
                <c:pt idx="1">
                  <c:v>14-Jan</c:v>
                </c:pt>
                <c:pt idx="2">
                  <c:v>30-Jan</c:v>
                </c:pt>
                <c:pt idx="3">
                  <c:v>Feb</c:v>
                </c:pt>
                <c:pt idx="4">
                  <c:v>18-Feb</c:v>
                </c:pt>
                <c:pt idx="5">
                  <c:v>Mar</c:v>
                </c:pt>
                <c:pt idx="6">
                  <c:v>5-Mar</c:v>
                </c:pt>
                <c:pt idx="7">
                  <c:v>18-Mar</c:v>
                </c:pt>
                <c:pt idx="8">
                  <c:v>Apr</c:v>
                </c:pt>
                <c:pt idx="9">
                  <c:v>2-Apr</c:v>
                </c:pt>
                <c:pt idx="10">
                  <c:v>16-Apr</c:v>
                </c:pt>
                <c:pt idx="11">
                  <c:v>May</c:v>
                </c:pt>
                <c:pt idx="12">
                  <c:v>2-May</c:v>
                </c:pt>
                <c:pt idx="13">
                  <c:v>18-May</c:v>
                </c:pt>
                <c:pt idx="14">
                  <c:v>21-May</c:v>
                </c:pt>
              </c:strCache>
            </c:strRef>
          </c:cat>
          <c:val>
            <c:numRef>
              <c:f>'Pivot Table'!$F$4:$F$18</c:f>
              <c:numCache>
                <c:formatCode>General</c:formatCode>
                <c:ptCount val="15"/>
                <c:pt idx="0">
                  <c:v>85.28</c:v>
                </c:pt>
                <c:pt idx="1">
                  <c:v>43.45</c:v>
                </c:pt>
                <c:pt idx="2">
                  <c:v>41.83</c:v>
                </c:pt>
                <c:pt idx="3">
                  <c:v>41.73</c:v>
                </c:pt>
                <c:pt idx="4">
                  <c:v>41.73</c:v>
                </c:pt>
                <c:pt idx="5">
                  <c:v>88.4</c:v>
                </c:pt>
                <c:pt idx="6">
                  <c:v>44.99</c:v>
                </c:pt>
                <c:pt idx="7">
                  <c:v>43.41</c:v>
                </c:pt>
                <c:pt idx="8">
                  <c:v>81.09</c:v>
                </c:pt>
                <c:pt idx="9">
                  <c:v>39.369999999999997</c:v>
                </c:pt>
                <c:pt idx="10">
                  <c:v>41.72</c:v>
                </c:pt>
                <c:pt idx="11">
                  <c:v>73.16</c:v>
                </c:pt>
                <c:pt idx="12">
                  <c:v>41.9</c:v>
                </c:pt>
                <c:pt idx="13">
                  <c:v>8.91</c:v>
                </c:pt>
                <c:pt idx="14">
                  <c:v>22.35</c:v>
                </c:pt>
              </c:numCache>
            </c:numRef>
          </c:val>
          <c:extLst>
            <c:ext xmlns:c16="http://schemas.microsoft.com/office/drawing/2014/chart" uri="{C3380CC4-5D6E-409C-BE32-E72D297353CC}">
              <c16:uniqueId val="{00000000-6659-42AC-8706-43807EDB6A91}"/>
            </c:ext>
          </c:extLst>
        </c:ser>
        <c:dLbls>
          <c:showLegendKey val="0"/>
          <c:showVal val="0"/>
          <c:showCatName val="0"/>
          <c:showSerName val="0"/>
          <c:showPercent val="0"/>
          <c:showBubbleSize val="0"/>
        </c:dLbls>
        <c:gapWidth val="100"/>
        <c:overlap val="-24"/>
        <c:axId val="1852322735"/>
        <c:axId val="1852320815"/>
      </c:barChart>
      <c:catAx>
        <c:axId val="18523227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320815"/>
        <c:crosses val="autoZero"/>
        <c:auto val="1"/>
        <c:lblAlgn val="ctr"/>
        <c:lblOffset val="100"/>
        <c:noMultiLvlLbl val="0"/>
      </c:catAx>
      <c:valAx>
        <c:axId val="1852320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32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Sum of</a:t>
            </a:r>
            <a:r>
              <a:rPr lang="en-US" baseline="0"/>
              <a:t> </a:t>
            </a:r>
            <a:r>
              <a:rPr lang="en-US"/>
              <a:t>started message &amp; Price for results</a:t>
            </a:r>
          </a:p>
        </c:rich>
      </c:tx>
      <c:layout>
        <c:manualLayout>
          <c:xMode val="edge"/>
          <c:yMode val="edge"/>
          <c:x val="0.1138678915135608"/>
          <c:y val="4.16666666666666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Table'!$G$4:$G$18</c:f>
              <c:numCache>
                <c:formatCode>General</c:formatCode>
                <c:ptCount val="15"/>
                <c:pt idx="0">
                  <c:v>82</c:v>
                </c:pt>
                <c:pt idx="1">
                  <c:v>46</c:v>
                </c:pt>
                <c:pt idx="2">
                  <c:v>36</c:v>
                </c:pt>
                <c:pt idx="3">
                  <c:v>32</c:v>
                </c:pt>
                <c:pt idx="4">
                  <c:v>32</c:v>
                </c:pt>
                <c:pt idx="5">
                  <c:v>82</c:v>
                </c:pt>
                <c:pt idx="6">
                  <c:v>26</c:v>
                </c:pt>
                <c:pt idx="7">
                  <c:v>56</c:v>
                </c:pt>
                <c:pt idx="8">
                  <c:v>73</c:v>
                </c:pt>
                <c:pt idx="9">
                  <c:v>32</c:v>
                </c:pt>
                <c:pt idx="10">
                  <c:v>41</c:v>
                </c:pt>
                <c:pt idx="11">
                  <c:v>61</c:v>
                </c:pt>
                <c:pt idx="12">
                  <c:v>37</c:v>
                </c:pt>
                <c:pt idx="13">
                  <c:v>5</c:v>
                </c:pt>
                <c:pt idx="14">
                  <c:v>19</c:v>
                </c:pt>
              </c:numCache>
            </c:numRef>
          </c:val>
          <c:smooth val="0"/>
          <c:extLst>
            <c:ext xmlns:c16="http://schemas.microsoft.com/office/drawing/2014/chart" uri="{C3380CC4-5D6E-409C-BE32-E72D297353CC}">
              <c16:uniqueId val="{00000000-7B12-4612-AD38-9FB7C92F1296}"/>
            </c:ext>
          </c:extLst>
        </c:ser>
        <c:ser>
          <c:idx val="1"/>
          <c:order val="1"/>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Table'!$H$4:$H$18</c:f>
              <c:numCache>
                <c:formatCode>"$"#,##0.00</c:formatCode>
                <c:ptCount val="15"/>
                <c:pt idx="0">
                  <c:v>2.10650966</c:v>
                </c:pt>
                <c:pt idx="1">
                  <c:v>0.94456521999999998</c:v>
                </c:pt>
                <c:pt idx="2">
                  <c:v>1.1619444400000001</c:v>
                </c:pt>
                <c:pt idx="3">
                  <c:v>1.3040624999999999</c:v>
                </c:pt>
                <c:pt idx="4">
                  <c:v>1.3040624999999999</c:v>
                </c:pt>
                <c:pt idx="5">
                  <c:v>2.5055631900000002</c:v>
                </c:pt>
                <c:pt idx="6">
                  <c:v>1.7303846199999999</c:v>
                </c:pt>
                <c:pt idx="7">
                  <c:v>0.77517857000000001</c:v>
                </c:pt>
                <c:pt idx="8">
                  <c:v>2.24787348</c:v>
                </c:pt>
                <c:pt idx="9">
                  <c:v>1.2303124999999999</c:v>
                </c:pt>
                <c:pt idx="10">
                  <c:v>1.0175609800000001</c:v>
                </c:pt>
                <c:pt idx="11">
                  <c:v>4.09074822</c:v>
                </c:pt>
                <c:pt idx="12">
                  <c:v>1.1324324299999999</c:v>
                </c:pt>
                <c:pt idx="13">
                  <c:v>1.782</c:v>
                </c:pt>
                <c:pt idx="14">
                  <c:v>1.1763157900000001</c:v>
                </c:pt>
              </c:numCache>
            </c:numRef>
          </c:val>
          <c:smooth val="0"/>
          <c:extLst>
            <c:ext xmlns:c16="http://schemas.microsoft.com/office/drawing/2014/chart" uri="{C3380CC4-5D6E-409C-BE32-E72D297353CC}">
              <c16:uniqueId val="{00000001-7B12-4612-AD38-9FB7C92F1296}"/>
            </c:ext>
          </c:extLst>
        </c:ser>
        <c:dLbls>
          <c:dLblPos val="ctr"/>
          <c:showLegendKey val="0"/>
          <c:showVal val="1"/>
          <c:showCatName val="0"/>
          <c:showSerName val="0"/>
          <c:showPercent val="0"/>
          <c:showBubbleSize val="0"/>
        </c:dLbls>
        <c:smooth val="0"/>
        <c:axId val="1853710351"/>
        <c:axId val="1853705551"/>
      </c:lineChart>
      <c:catAx>
        <c:axId val="18537103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705551"/>
        <c:crosses val="autoZero"/>
        <c:auto val="1"/>
        <c:lblAlgn val="ctr"/>
        <c:lblOffset val="100"/>
        <c:noMultiLvlLbl val="0"/>
      </c:catAx>
      <c:valAx>
        <c:axId val="185370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710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171450</xdr:colOff>
      <xdr:row>3</xdr:row>
      <xdr:rowOff>147430</xdr:rowOff>
    </xdr:from>
    <xdr:to>
      <xdr:col>11</xdr:col>
      <xdr:colOff>11906</xdr:colOff>
      <xdr:row>17</xdr:row>
      <xdr:rowOff>171449</xdr:rowOff>
    </xdr:to>
    <xdr:graphicFrame macro="">
      <xdr:nvGraphicFramePr>
        <xdr:cNvPr id="5" name="Chart 4">
          <a:extLst>
            <a:ext uri="{FF2B5EF4-FFF2-40B4-BE49-F238E27FC236}">
              <a16:creationId xmlns:a16="http://schemas.microsoft.com/office/drawing/2014/main" id="{AD52FB9D-0B51-4625-A1D1-F7EA6B63A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171449</xdr:colOff>
      <xdr:row>18</xdr:row>
      <xdr:rowOff>76200</xdr:rowOff>
    </xdr:from>
    <xdr:to>
      <xdr:col>11</xdr:col>
      <xdr:colOff>17860</xdr:colOff>
      <xdr:row>32</xdr:row>
      <xdr:rowOff>152400</xdr:rowOff>
    </xdr:to>
    <xdr:graphicFrame macro="">
      <xdr:nvGraphicFramePr>
        <xdr:cNvPr id="6" name="Chart 5">
          <a:extLst>
            <a:ext uri="{FF2B5EF4-FFF2-40B4-BE49-F238E27FC236}">
              <a16:creationId xmlns:a16="http://schemas.microsoft.com/office/drawing/2014/main" id="{CC90F1F0-F120-4990-A3A9-D8DA0F2C8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108438</xdr:colOff>
      <xdr:row>3</xdr:row>
      <xdr:rowOff>149087</xdr:rowOff>
    </xdr:from>
    <xdr:to>
      <xdr:col>3</xdr:col>
      <xdr:colOff>108438</xdr:colOff>
      <xdr:row>17</xdr:row>
      <xdr:rowOff>165652</xdr:rowOff>
    </xdr:to>
    <mc:AlternateContent xmlns:mc="http://schemas.openxmlformats.org/markup-compatibility/2006">
      <mc:Choice xmlns:sle15="http://schemas.microsoft.com/office/drawing/2012/slicer" Requires="sle15">
        <xdr:graphicFrame macro="">
          <xdr:nvGraphicFramePr>
            <xdr:cNvPr id="8" name="Sum of Начата переписка 1">
              <a:extLst>
                <a:ext uri="{FF2B5EF4-FFF2-40B4-BE49-F238E27FC236}">
                  <a16:creationId xmlns:a16="http://schemas.microsoft.com/office/drawing/2014/main" id="{53AE022E-5C43-45BF-861D-0C534C3CC1E7}"/>
                </a:ext>
              </a:extLst>
            </xdr:cNvPr>
            <xdr:cNvGraphicFramePr/>
          </xdr:nvGraphicFramePr>
          <xdr:xfrm>
            <a:off x="0" y="0"/>
            <a:ext cx="0" cy="0"/>
          </xdr:xfrm>
          <a:graphic>
            <a:graphicData uri="http://schemas.microsoft.com/office/drawing/2010/slicer">
              <sle:slicer xmlns:sle="http://schemas.microsoft.com/office/drawing/2010/slicer" name="Sum of Начата переписка 1"/>
            </a:graphicData>
          </a:graphic>
        </xdr:graphicFrame>
      </mc:Choice>
      <mc:Fallback>
        <xdr:sp macro="" textlink="">
          <xdr:nvSpPr>
            <xdr:cNvPr id="0" name=""/>
            <xdr:cNvSpPr>
              <a:spLocks noTextEdit="1"/>
            </xdr:cNvSpPr>
          </xdr:nvSpPr>
          <xdr:spPr>
            <a:xfrm>
              <a:off x="108438" y="720587"/>
              <a:ext cx="1828800" cy="268356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104775</xdr:colOff>
      <xdr:row>18</xdr:row>
      <xdr:rowOff>82826</xdr:rowOff>
    </xdr:from>
    <xdr:to>
      <xdr:col>3</xdr:col>
      <xdr:colOff>104775</xdr:colOff>
      <xdr:row>32</xdr:row>
      <xdr:rowOff>140804</xdr:rowOff>
    </xdr:to>
    <mc:AlternateContent xmlns:mc="http://schemas.openxmlformats.org/markup-compatibility/2006">
      <mc:Choice xmlns:sle15="http://schemas.microsoft.com/office/drawing/2012/slicer" Requires="sle15">
        <xdr:graphicFrame macro="">
          <xdr:nvGraphicFramePr>
            <xdr:cNvPr id="9" name="Sum of Цена за результат 1">
              <a:extLst>
                <a:ext uri="{FF2B5EF4-FFF2-40B4-BE49-F238E27FC236}">
                  <a16:creationId xmlns:a16="http://schemas.microsoft.com/office/drawing/2014/main" id="{8DB2CF5C-438A-4EED-8C94-9B9CC5BFEF03}"/>
                </a:ext>
              </a:extLst>
            </xdr:cNvPr>
            <xdr:cNvGraphicFramePr/>
          </xdr:nvGraphicFramePr>
          <xdr:xfrm>
            <a:off x="0" y="0"/>
            <a:ext cx="0" cy="0"/>
          </xdr:xfrm>
          <a:graphic>
            <a:graphicData uri="http://schemas.microsoft.com/office/drawing/2010/slicer">
              <sle:slicer xmlns:sle="http://schemas.microsoft.com/office/drawing/2010/slicer" name="Sum of Цена за результат 1"/>
            </a:graphicData>
          </a:graphic>
        </xdr:graphicFrame>
      </mc:Choice>
      <mc:Fallback>
        <xdr:sp macro="" textlink="">
          <xdr:nvSpPr>
            <xdr:cNvPr id="0" name=""/>
            <xdr:cNvSpPr>
              <a:spLocks noTextEdit="1"/>
            </xdr:cNvSpPr>
          </xdr:nvSpPr>
          <xdr:spPr>
            <a:xfrm>
              <a:off x="104775" y="3511826"/>
              <a:ext cx="1828800" cy="272497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ek Avetisyan" refreshedDate="46170.707706134257" createdVersion="8" refreshedVersion="8" minRefreshableVersion="3" recordCount="11" xr:uid="{E5EB026A-B137-4D02-A86E-A9CEE14597C7}">
  <cacheSource type="worksheet">
    <worksheetSource name="Отчет_без_названия_янв_1_2026_мая_28_2026__4"/>
  </cacheSource>
  <cacheFields count="22">
    <cacheField name="Название объявления" numFmtId="0">
      <sharedItems count="6">
        <s v="Публикация: &quot;Հարթ ու ձիգ որովայն մեկ քայլով | ✆ 091 40 72 66&quot;"/>
        <s v="Публикация: &quot;Երբ  արդյունքը գերազանցում է բոլոր սպասումները 🤍&quot;"/>
        <s v="Публикация: &quot;Ճիշտ ժամանակն է ✅&quot;"/>
        <s v="Публикация: &quot;Կրծքերի չափերի, մեծացում, փոքրացում և ձգում, | ✆...&quot;"/>
        <s v="Публикация: &quot;Կրծքերի մեծացման նպատակն է ստեղծել այնպիսի ձև և...&quot;"/>
        <s v=""/>
      </sharedItems>
    </cacheField>
    <cacheField name="Охват" numFmtId="0">
      <sharedItems containsSemiMixedTypes="0" containsString="0" containsNumber="1" containsInteger="1" minValue="3748" maxValue="52332"/>
    </cacheField>
    <cacheField name="Показы" numFmtId="0">
      <sharedItems containsSemiMixedTypes="0" containsString="0" containsNumber="1" containsInteger="1" minValue="5284" maxValue="199963"/>
    </cacheField>
    <cacheField name="Частота" numFmtId="0">
      <sharedItems containsSemiMixedTypes="0" containsString="0" containsNumber="1" minValue="1.4098185700000001" maxValue="3.8210464000000002"/>
    </cacheField>
    <cacheField name="Тип результата" numFmtId="0">
      <sharedItems/>
    </cacheField>
    <cacheField name="Цена за результат" numFmtId="0">
      <sharedItems containsString="0" containsBlank="1" containsNumber="1" minValue="0.77517857000000001" maxValue="1.782"/>
    </cacheField>
    <cacheField name="Начало" numFmtId="14">
      <sharedItems containsNonDate="0" containsDate="1" containsString="0" containsBlank="1" minDate="2026-01-14T00:00:00" maxDate="2026-05-22T00:00:00" count="11">
        <d v="2026-01-14T00:00:00"/>
        <d v="2026-01-30T00:00:00"/>
        <d v="2026-02-18T00:00:00"/>
        <d v="2026-03-05T00:00:00"/>
        <d v="2026-03-18T00:00:00"/>
        <d v="2026-04-02T00:00:00"/>
        <d v="2026-04-16T00:00:00"/>
        <d v="2026-05-02T00:00:00"/>
        <d v="2026-05-18T00:00:00"/>
        <d v="2026-05-21T00:00:00"/>
        <m/>
      </sharedItems>
      <fieldGroup par="19"/>
    </cacheField>
    <cacheField name="Конец" numFmtId="14">
      <sharedItems containsNonDate="0" containsDate="1" containsString="0" containsBlank="1" minDate="2026-01-29T00:00:00" maxDate="2026-06-03T00:00:00" count="11">
        <d v="2026-01-29T00:00:00"/>
        <d v="2026-02-14T00:00:00"/>
        <d v="2026-03-05T00:00:00"/>
        <d v="2026-03-16T00:00:00"/>
        <d v="2026-04-02T00:00:00"/>
        <d v="2026-04-14T00:00:00"/>
        <d v="2026-05-01T00:00:00"/>
        <d v="2026-05-16T00:00:00"/>
        <d v="2026-06-02T00:00:00"/>
        <d v="2026-05-31T00:00:00"/>
        <m/>
      </sharedItems>
      <fieldGroup par="21"/>
    </cacheField>
    <cacheField name="CPC (цена за клик по ссылке)" numFmtId="0">
      <sharedItems containsSemiMixedTypes="0" containsString="0" containsNumber="1" minValue="7.5627180000000002E-2" maxValue="0.23804233"/>
    </cacheField>
    <cacheField name="CPM (цена за 1 000 показов)" numFmtId="0">
      <sharedItems containsSemiMixedTypes="0" containsString="0" containsNumber="1" minValue="1.5374702200000001" maxValue="2.5173455699999998"/>
    </cacheField>
    <cacheField name="CTR (все)" numFmtId="0">
      <sharedItems containsSemiMixedTypes="0" containsString="0" containsNumber="1" minValue="3.7411645299999998" maxValue="6.1109445300000003"/>
    </cacheField>
    <cacheField name="Клики по ссылке" numFmtId="0">
      <sharedItems containsSemiMixedTypes="0" containsString="0" containsNumber="1" containsInteger="1" minValue="53" maxValue="2820"/>
    </cacheField>
    <cacheField name="Начата переписка" numFmtId="0">
      <sharedItems containsSemiMixedTypes="0" containsString="0" containsNumber="1" containsInteger="1" minValue="5" maxValue="340"/>
    </cacheField>
    <cacheField name="Цена за контакт по переписке" numFmtId="0">
      <sharedItems containsSemiMixedTypes="0" containsString="0" containsNumber="1" minValue="0.78927272999999998" maxValue="1.782"/>
    </cacheField>
    <cacheField name="Результат" numFmtId="0">
      <sharedItems containsString="0" containsBlank="1" containsNumber="1" containsInteger="1" minValue="5" maxValue="56"/>
    </cacheField>
    <cacheField name="Потраченная сумма (USD)" numFmtId="0">
      <sharedItems containsSemiMixedTypes="0" containsString="0" containsNumber="1" minValue="8.91" maxValue="389.49" count="11">
        <n v="43.45"/>
        <n v="41.83"/>
        <n v="41.73"/>
        <n v="44.99"/>
        <n v="43.41"/>
        <n v="39.369999999999997"/>
        <n v="41.72"/>
        <n v="41.9"/>
        <n v="8.91"/>
        <n v="22.35"/>
        <n v="389.49"/>
      </sharedItems>
    </cacheField>
    <cacheField name="Дата начала отчетности" numFmtId="14">
      <sharedItems containsSemiMixedTypes="0" containsNonDate="0" containsDate="1" containsString="0" minDate="2026-01-01T00:00:00" maxDate="2026-01-02T00:00:00" count="1">
        <d v="2026-01-01T00:00:00"/>
      </sharedItems>
    </cacheField>
    <cacheField name="Окончание отчетности" numFmtId="14">
      <sharedItems containsSemiMixedTypes="0" containsNonDate="0" containsDate="1" containsString="0" minDate="2026-05-28T00:00:00" maxDate="2026-05-29T00:00:00" count="1">
        <d v="2026-05-28T00:00:00"/>
      </sharedItems>
    </cacheField>
    <cacheField name="Days (Начало)" numFmtId="0" databaseField="0">
      <fieldGroup base="6">
        <rangePr groupBy="days" startDate="2026-01-14T00:00:00" endDate="2026-05-22T00:00:00"/>
        <groupItems count="368">
          <s v="&lt;1/14/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22/2026"/>
        </groupItems>
      </fieldGroup>
    </cacheField>
    <cacheField name="Months (Начало)" numFmtId="0" databaseField="0">
      <fieldGroup base="6">
        <rangePr groupBy="months" startDate="2026-01-14T00:00:00" endDate="2026-05-22T00:00:00"/>
        <groupItems count="14">
          <s v="&lt;1/14/2026"/>
          <s v="Jan"/>
          <s v="Feb"/>
          <s v="Mar"/>
          <s v="Apr"/>
          <s v="May"/>
          <s v="Jun"/>
          <s v="Jul"/>
          <s v="Aug"/>
          <s v="Sep"/>
          <s v="Oct"/>
          <s v="Nov"/>
          <s v="Dec"/>
          <s v="&gt;5/22/2026"/>
        </groupItems>
      </fieldGroup>
    </cacheField>
    <cacheField name="Days (Конец)" numFmtId="0" databaseField="0">
      <fieldGroup base="7">
        <rangePr groupBy="days" startDate="2026-01-29T00:00:00" endDate="2026-06-03T00:00:00"/>
        <groupItems count="368">
          <s v="&lt;1/29/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3/2026"/>
        </groupItems>
      </fieldGroup>
    </cacheField>
    <cacheField name="Months (Конец)" numFmtId="0" databaseField="0">
      <fieldGroup base="7">
        <rangePr groupBy="months" startDate="2026-01-29T00:00:00" endDate="2026-06-03T00:00:00"/>
        <groupItems count="14">
          <s v="&lt;1/29/2026"/>
          <s v="Jan"/>
          <s v="Feb"/>
          <s v="Mar"/>
          <s v="Apr"/>
          <s v="May"/>
          <s v="Jun"/>
          <s v="Jul"/>
          <s v="Aug"/>
          <s v="Sep"/>
          <s v="Oct"/>
          <s v="Nov"/>
          <s v="Dec"/>
          <s v="&gt;6/3/2026"/>
        </groupItems>
      </fieldGroup>
    </cacheField>
  </cacheFields>
  <extLst>
    <ext xmlns:x14="http://schemas.microsoft.com/office/spreadsheetml/2009/9/main" uri="{725AE2AE-9491-48be-B2B4-4EB974FC3084}">
      <x14:pivotCacheDefinition pivotCacheId="10382260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8028"/>
    <n v="21413"/>
    <n v="2.6672894899999999"/>
    <s v="Начата переписка"/>
    <n v="0.94456521999999998"/>
    <x v="0"/>
    <x v="0"/>
    <n v="0.11434211"/>
    <n v="2.0291411799999999"/>
    <n v="5.3939195800000004"/>
    <n v="380"/>
    <n v="46"/>
    <n v="0.96555555999999998"/>
    <n v="46"/>
    <x v="0"/>
    <x v="0"/>
    <x v="0"/>
  </r>
  <r>
    <x v="0"/>
    <n v="7164"/>
    <n v="16662"/>
    <n v="2.3257956399999999"/>
    <s v="Начата переписка"/>
    <n v="1.1619444400000001"/>
    <x v="1"/>
    <x v="1"/>
    <n v="0.16150579000000001"/>
    <n v="2.5105029399999998"/>
    <n v="5.3715040199999997"/>
    <n v="259"/>
    <n v="36"/>
    <n v="1.1619444400000001"/>
    <n v="36"/>
    <x v="1"/>
    <x v="0"/>
    <x v="0"/>
  </r>
  <r>
    <x v="1"/>
    <n v="7675"/>
    <n v="16675"/>
    <n v="2.1726384400000001"/>
    <s v="Начата переписка"/>
    <n v="1.3040624999999999"/>
    <x v="2"/>
    <x v="2"/>
    <n v="0.17533613000000001"/>
    <n v="2.50254873"/>
    <n v="6.1109445300000003"/>
    <n v="238"/>
    <n v="32"/>
    <n v="1.26454545"/>
    <n v="32"/>
    <x v="2"/>
    <x v="0"/>
    <x v="0"/>
  </r>
  <r>
    <x v="2"/>
    <n v="6041"/>
    <n v="17872"/>
    <n v="2.95845059"/>
    <s v="Начата переписка"/>
    <n v="1.7303846199999999"/>
    <x v="3"/>
    <x v="3"/>
    <n v="0.23804233"/>
    <n v="2.5173455699999998"/>
    <n v="4.0734109199999997"/>
    <n v="189"/>
    <n v="26"/>
    <n v="1.7303846199999999"/>
    <n v="26"/>
    <x v="3"/>
    <x v="0"/>
    <x v="0"/>
  </r>
  <r>
    <x v="0"/>
    <n v="10979"/>
    <n v="25505"/>
    <n v="2.3230713199999999"/>
    <s v="Начата переписка"/>
    <n v="0.77517857000000001"/>
    <x v="4"/>
    <x v="4"/>
    <n v="7.5627180000000002E-2"/>
    <n v="1.70201921"/>
    <n v="5.8419917699999999"/>
    <n v="574"/>
    <n v="56"/>
    <n v="0.78927272999999998"/>
    <n v="56"/>
    <x v="4"/>
    <x v="0"/>
    <x v="0"/>
  </r>
  <r>
    <x v="3"/>
    <n v="12454"/>
    <n v="25607"/>
    <n v="2.0561265500000001"/>
    <s v="Начата переписка"/>
    <n v="1.2303124999999999"/>
    <x v="5"/>
    <x v="5"/>
    <n v="0.17575893000000001"/>
    <n v="1.5374702200000001"/>
    <n v="3.7411645299999998"/>
    <n v="224"/>
    <n v="32"/>
    <n v="1.2303124999999999"/>
    <n v="32"/>
    <x v="5"/>
    <x v="0"/>
    <x v="0"/>
  </r>
  <r>
    <x v="1"/>
    <n v="7279"/>
    <n v="18080"/>
    <n v="2.4838576699999999"/>
    <s v="Начата переписка"/>
    <n v="1.0175609800000001"/>
    <x v="6"/>
    <x v="6"/>
    <n v="0.17603376000000001"/>
    <n v="2.3075221199999998"/>
    <n v="5.2488938100000002"/>
    <n v="237"/>
    <n v="41"/>
    <n v="1.0697435900000001"/>
    <n v="41"/>
    <x v="6"/>
    <x v="0"/>
    <x v="0"/>
  </r>
  <r>
    <x v="0"/>
    <n v="9444"/>
    <n v="22542"/>
    <n v="2.3869123299999999"/>
    <s v="Начата переписка"/>
    <n v="1.1324324299999999"/>
    <x v="7"/>
    <x v="7"/>
    <n v="9.8820749999999999E-2"/>
    <n v="1.8587525499999999"/>
    <n v="4.6535356200000004"/>
    <n v="424"/>
    <n v="37"/>
    <n v="1.1026315799999999"/>
    <n v="37"/>
    <x v="7"/>
    <x v="0"/>
    <x v="0"/>
  </r>
  <r>
    <x v="4"/>
    <n v="3748"/>
    <n v="5284"/>
    <n v="1.4098185700000001"/>
    <s v="Начата переписка"/>
    <n v="1.782"/>
    <x v="8"/>
    <x v="8"/>
    <n v="0.16811321000000001"/>
    <n v="1.68622256"/>
    <n v="4.1256623799999996"/>
    <n v="53"/>
    <n v="5"/>
    <n v="1.782"/>
    <n v="5"/>
    <x v="8"/>
    <x v="0"/>
    <x v="0"/>
  </r>
  <r>
    <x v="0"/>
    <n v="5907"/>
    <n v="9787"/>
    <n v="1.6568478099999999"/>
    <s v="Начата переписка"/>
    <n v="1.1763157900000001"/>
    <x v="9"/>
    <x v="9"/>
    <n v="0.16555555999999999"/>
    <n v="2.2836415699999999"/>
    <n v="4.4140186000000003"/>
    <n v="135"/>
    <n v="19"/>
    <n v="1.2416666700000001"/>
    <n v="19"/>
    <x v="9"/>
    <x v="0"/>
    <x v="0"/>
  </r>
  <r>
    <x v="5"/>
    <n v="52332"/>
    <n v="199963"/>
    <n v="3.8210464000000002"/>
    <s v="mixed"/>
    <m/>
    <x v="10"/>
    <x v="10"/>
    <n v="0.13811702000000001"/>
    <n v="1.94781034"/>
    <n v="4.5518420900000001"/>
    <n v="2820"/>
    <n v="340"/>
    <n v="1.2058513900000001"/>
    <m/>
    <x v="1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5BE94D-769C-47F4-B469-8AAC35A8F814}"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D19" firstHeaderRow="0" firstDataRow="1" firstDataCol="1"/>
  <pivotFields count="22">
    <pivotField showAll="0">
      <items count="7">
        <item x="5"/>
        <item x="1"/>
        <item x="4"/>
        <item x="3"/>
        <item x="0"/>
        <item x="2"/>
        <item t="default"/>
      </items>
    </pivotField>
    <pivotField showAll="0"/>
    <pivotField showAll="0"/>
    <pivotField showAll="0"/>
    <pivotField showAll="0"/>
    <pivotField dataField="1" showAll="0"/>
    <pivotField axis="axisRow" showAll="0">
      <items count="12">
        <item sd="0" x="0"/>
        <item sd="0" x="1"/>
        <item sd="0" x="2"/>
        <item sd="0" x="3"/>
        <item sd="0" x="4"/>
        <item sd="0" x="5"/>
        <item sd="0" x="6"/>
        <item sd="0" x="7"/>
        <item sd="0" x="8"/>
        <item sd="0" x="9"/>
        <item sd="0" x="10"/>
        <item t="default" sd="0"/>
      </items>
    </pivotField>
    <pivotField axis="axisRow" showAll="0">
      <items count="12">
        <item x="0"/>
        <item x="1"/>
        <item x="2"/>
        <item x="3"/>
        <item x="4"/>
        <item x="5"/>
        <item x="6"/>
        <item x="7"/>
        <item x="9"/>
        <item x="8"/>
        <item x="10"/>
        <item t="default"/>
      </items>
    </pivotField>
    <pivotField showAll="0"/>
    <pivotField showAll="0"/>
    <pivotField showAll="0"/>
    <pivotField showAll="0"/>
    <pivotField dataField="1" showAll="0"/>
    <pivotField showAll="0"/>
    <pivotField showAll="0"/>
    <pivotField dataField="1" showAll="0">
      <items count="12">
        <item x="8"/>
        <item x="9"/>
        <item x="5"/>
        <item x="6"/>
        <item x="2"/>
        <item x="1"/>
        <item x="7"/>
        <item x="4"/>
        <item x="0"/>
        <item x="3"/>
        <item x="10"/>
        <item t="default"/>
      </items>
    </pivotField>
    <pivotField numFmtId="14" showAll="0">
      <items count="2">
        <item x="0"/>
        <item t="default"/>
      </items>
    </pivotField>
    <pivotField numFmtId="14" showAll="0">
      <items count="2">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h="1" x="0"/>
        <item x="1"/>
        <item x="2"/>
        <item x="3"/>
        <item x="4"/>
        <item x="5"/>
        <item x="6"/>
        <item x="7"/>
        <item x="8"/>
        <item x="9"/>
        <item x="10"/>
        <item x="11"/>
        <item x="12"/>
        <item x="13"/>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6">
    <field x="19"/>
    <field x="18"/>
    <field x="6"/>
    <field x="21"/>
    <field x="20"/>
    <field x="7"/>
  </rowFields>
  <rowItems count="16">
    <i>
      <x v="1"/>
    </i>
    <i r="1">
      <x v="14"/>
    </i>
    <i r="1">
      <x v="30"/>
    </i>
    <i>
      <x v="2"/>
    </i>
    <i r="1">
      <x v="49"/>
    </i>
    <i>
      <x v="3"/>
    </i>
    <i r="1">
      <x v="65"/>
    </i>
    <i r="1">
      <x v="78"/>
    </i>
    <i>
      <x v="4"/>
    </i>
    <i r="1">
      <x v="93"/>
    </i>
    <i r="1">
      <x v="107"/>
    </i>
    <i>
      <x v="5"/>
    </i>
    <i r="1">
      <x v="123"/>
    </i>
    <i r="1">
      <x v="139"/>
    </i>
    <i r="1">
      <x v="142"/>
    </i>
    <i t="grand">
      <x/>
    </i>
  </rowItems>
  <colFields count="1">
    <field x="-2"/>
  </colFields>
  <colItems count="3">
    <i>
      <x/>
    </i>
    <i i="1">
      <x v="1"/>
    </i>
    <i i="2">
      <x v="2"/>
    </i>
  </colItems>
  <dataFields count="3">
    <dataField name="Sum of Потраченная сумма (USD)" fld="15" baseField="0" baseItem="0"/>
    <dataField name="Sum of Начата переписка" fld="12" baseField="0" baseItem="0"/>
    <dataField name="Sum of Цена за результат"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6BDAA2A-CAC6-4B0E-BE74-4A98884DDAA0}" autoFormatId="16" applyNumberFormats="0" applyBorderFormats="0" applyFontFormats="0" applyPatternFormats="0" applyAlignmentFormats="0" applyWidthHeightFormats="0">
  <queryTableRefresh nextId="20">
    <queryTableFields count="18">
      <queryTableField id="1" name="Название объявления" tableColumnId="1"/>
      <queryTableField id="2" name="Охват" tableColumnId="2"/>
      <queryTableField id="3" name="Показы" tableColumnId="3"/>
      <queryTableField id="4" name="Частота" tableColumnId="4"/>
      <queryTableField id="6" name="Тип результата" tableColumnId="6"/>
      <queryTableField id="7" name="Цена за результат" tableColumnId="7"/>
      <queryTableField id="8" name="Начало" tableColumnId="8"/>
      <queryTableField id="9" name="Конец" tableColumnId="9"/>
      <queryTableField id="10" name="CPC (цена за клик по ссылке)" tableColumnId="10"/>
      <queryTableField id="11" name="CPM (цена за 1 000 показов)" tableColumnId="11"/>
      <queryTableField id="12" name="CTR (все)" tableColumnId="12"/>
      <queryTableField id="13" name="Клики по ссылке" tableColumnId="13"/>
      <queryTableField id="14" name="Начата переписка" tableColumnId="14"/>
      <queryTableField id="15" name="Цена за контакт по переписке" tableColumnId="15"/>
      <queryTableField id="16" name="Результат" tableColumnId="16"/>
      <queryTableField id="17" name="Потраченная сумма (USD)" tableColumnId="17"/>
      <queryTableField id="18" name="Дата начала отчетности" tableColumnId="18"/>
      <queryTableField id="19" name="Окончание отчетности" tableColumnId="19"/>
    </queryTableFields>
    <queryTableDeletedFields count="1">
      <deletedField name="Настройка атрибуции"/>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m_of_Начата_переписка" xr10:uid="{1BEFE1BC-E4B2-416D-8161-4F4AAFC56922}" sourceName="Sum of Начата переписка">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m_of_Цена_за_результат" xr10:uid="{293EB126-2541-4B8D-B54D-517CC3FB0DD2}" sourceName="Sum of Цена за результат">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m of Начата переписка 1" xr10:uid="{DDA13D16-129D-4798-AA7F-13E13DC60DD1}" cache="Slicer_Sum_of_Начата_переписка" caption="Sum of Начата переписка" startItem="3" rowHeight="257175"/>
  <slicer name="Sum of Цена за результат 1" xr10:uid="{293CC0D8-E0E2-4853-80D0-EA785E3F5788}" cache="Slicer_Sum_of_Цена_за_результат" caption="Sum of Цена за результат" startItem="6"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4AEB04-2C1E-41F1-9ED2-0C323D1ABBC1}" name="Отчет_без_названия_янв_1_2026_мая_28_2026__4" displayName="Отчет_без_названия_янв_1_2026_мая_28_2026__4" ref="A1:R12" tableType="queryTable" totalsRowShown="0">
  <autoFilter ref="A1:R12" xr:uid="{EA4AEB04-2C1E-41F1-9ED2-0C323D1ABBC1}"/>
  <sortState xmlns:xlrd2="http://schemas.microsoft.com/office/spreadsheetml/2017/richdata2" ref="A2:R12">
    <sortCondition ref="G1:G12"/>
  </sortState>
  <tableColumns count="18">
    <tableColumn id="1" xr3:uid="{CA09D4ED-D574-4EEA-AD82-5DBB5BCDE9ED}" uniqueName="1" name="Название объявления" queryTableFieldId="1" dataDxfId="6"/>
    <tableColumn id="2" xr3:uid="{439DD2FE-50BC-4CDF-9BBA-279C9A75F40F}" uniqueName="2" name="Охват" queryTableFieldId="2"/>
    <tableColumn id="3" xr3:uid="{A5BC63B0-977F-41F5-B7C3-FBC6D33C366B}" uniqueName="3" name="Показы" queryTableFieldId="3"/>
    <tableColumn id="4" xr3:uid="{93C11CF7-F09B-4BAB-B483-F0EEEBFA253E}" uniqueName="4" name="Частота" queryTableFieldId="4"/>
    <tableColumn id="6" xr3:uid="{C10D4024-8C5E-4D1B-A4EC-801A567A50FC}" uniqueName="6" name="Тип результата" queryTableFieldId="6" dataDxfId="5"/>
    <tableColumn id="7" xr3:uid="{B7DBA974-F43F-405D-BB16-0D0DFACA24D0}" uniqueName="7" name="Цена за результат" queryTableFieldId="7"/>
    <tableColumn id="8" xr3:uid="{A1A6F0DB-9003-415C-986C-32F09866A4FA}" uniqueName="8" name="Начало" queryTableFieldId="8" dataDxfId="4"/>
    <tableColumn id="9" xr3:uid="{1BE1D744-5D47-43E0-8557-AD6AEE4C6EF8}" uniqueName="9" name="Конец" queryTableFieldId="9" dataDxfId="3"/>
    <tableColumn id="10" xr3:uid="{7C270A05-16D6-4C0D-9339-A38E76C94D3F}" uniqueName="10" name="CPC (цена за клик по ссылке)" queryTableFieldId="10"/>
    <tableColumn id="11" xr3:uid="{1789BBB7-DD24-48AB-A046-1CFEA7280819}" uniqueName="11" name="CPM (цена за 1 000 показов)" queryTableFieldId="11"/>
    <tableColumn id="12" xr3:uid="{5465AC69-09FA-472D-B4C4-443ED4BF11CF}" uniqueName="12" name="CTR (все)" queryTableFieldId="12"/>
    <tableColumn id="13" xr3:uid="{987CCAAD-A843-4168-9291-A63D86D17129}" uniqueName="13" name="Клики по ссылке" queryTableFieldId="13"/>
    <tableColumn id="14" xr3:uid="{94D31FE9-6EE6-4EC4-BD7F-6A7D9F38145D}" uniqueName="14" name="Начата переписка" queryTableFieldId="14"/>
    <tableColumn id="15" xr3:uid="{C5CF8472-DA4D-4627-986B-049873937C10}" uniqueName="15" name="Цена за контакт по переписке" queryTableFieldId="15"/>
    <tableColumn id="16" xr3:uid="{27503FC5-08AE-4138-8BA0-E5AC045065F0}" uniqueName="16" name="Результат" queryTableFieldId="16"/>
    <tableColumn id="17" xr3:uid="{D3338562-26F0-4254-977D-872C2E6072CD}" uniqueName="17" name="Потраченная сумма (USD)" queryTableFieldId="17"/>
    <tableColumn id="18" xr3:uid="{38B7CEFF-46E5-4FB9-B999-50F9BB233CC4}" uniqueName="18" name="Дата начала отчетности" queryTableFieldId="18" dataDxfId="2"/>
    <tableColumn id="19" xr3:uid="{CD0AF068-64BB-4494-9CC9-423E414AA33D}" uniqueName="19" name="Окончание отчетности" queryTableFieldId="19"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3C99A2-233B-42D2-851B-6CBB026601F4}" name="Table2" displayName="Table2" ref="E3:H19" totalsRowShown="0">
  <autoFilter ref="E3:H19" xr:uid="{B93C99A2-233B-42D2-851B-6CBB026601F4}"/>
  <tableColumns count="4">
    <tableColumn id="1" xr3:uid="{9ED1B930-5F5A-458D-960C-4F21F89976A6}" name="Row Labels"/>
    <tableColumn id="2" xr3:uid="{C271287F-FECC-4DD8-86D0-C52DE8C699E1}" name="Sum of Потраченная сумма (USD)"/>
    <tableColumn id="3" xr3:uid="{AB82842E-EB56-49AE-BA36-EE367E73EFA4}" name="Sum of Начата переписка"/>
    <tableColumn id="4" xr3:uid="{24961C01-1E3D-4478-B593-2B1B001DE46D}" name="Sum of Цена за результат"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C2835-D6E2-4CA4-8324-27969D186679}">
  <dimension ref="A1:K3"/>
  <sheetViews>
    <sheetView showGridLines="0" tabSelected="1" zoomScaleNormal="100" workbookViewId="0">
      <selection activeCell="N26" sqref="N26"/>
    </sheetView>
  </sheetViews>
  <sheetFormatPr defaultRowHeight="15" x14ac:dyDescent="0.25"/>
  <cols>
    <col min="18" max="18" width="11.140625" customWidth="1"/>
  </cols>
  <sheetData>
    <row r="1" spans="1:11" x14ac:dyDescent="0.25">
      <c r="A1" s="7" t="s">
        <v>45</v>
      </c>
      <c r="B1" s="8"/>
      <c r="C1" s="8"/>
      <c r="D1" s="8"/>
      <c r="E1" s="8"/>
      <c r="F1" s="8"/>
      <c r="G1" s="8"/>
      <c r="H1" s="8"/>
      <c r="I1" s="8"/>
      <c r="J1" s="8"/>
      <c r="K1" s="9"/>
    </row>
    <row r="2" spans="1:11" x14ac:dyDescent="0.25">
      <c r="A2" s="10"/>
      <c r="B2" s="11"/>
      <c r="C2" s="11"/>
      <c r="D2" s="11"/>
      <c r="E2" s="11"/>
      <c r="F2" s="11"/>
      <c r="G2" s="11"/>
      <c r="H2" s="11"/>
      <c r="I2" s="11"/>
      <c r="J2" s="11"/>
      <c r="K2" s="12"/>
    </row>
    <row r="3" spans="1:11" x14ac:dyDescent="0.25">
      <c r="A3" s="13"/>
      <c r="B3" s="14"/>
      <c r="C3" s="14"/>
      <c r="D3" s="14"/>
      <c r="E3" s="14"/>
      <c r="F3" s="14"/>
      <c r="G3" s="14"/>
      <c r="H3" s="14"/>
      <c r="I3" s="14"/>
      <c r="J3" s="14"/>
      <c r="K3" s="15"/>
    </row>
  </sheetData>
  <mergeCells count="1">
    <mergeCell ref="A1:K3"/>
  </mergeCells>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80A8C-5EFF-486C-B2EA-8C18C5E6C395}">
  <dimension ref="A1:R12"/>
  <sheetViews>
    <sheetView topLeftCell="D1" workbookViewId="0">
      <selection activeCell="I13" sqref="I13"/>
    </sheetView>
  </sheetViews>
  <sheetFormatPr defaultRowHeight="15" x14ac:dyDescent="0.25"/>
  <cols>
    <col min="1" max="1" width="67.7109375" bestFit="1" customWidth="1"/>
    <col min="2" max="2" width="8.5703125" bestFit="1" customWidth="1"/>
    <col min="3" max="3" width="10.28515625" bestFit="1" customWidth="1"/>
    <col min="4" max="4" width="11" bestFit="1" customWidth="1"/>
    <col min="5" max="5" width="24.5703125" customWidth="1"/>
    <col min="6" max="6" width="20.28515625" bestFit="1" customWidth="1"/>
    <col min="7" max="7" width="13.85546875" customWidth="1"/>
    <col min="8" max="8" width="9.42578125" bestFit="1" customWidth="1"/>
    <col min="9" max="9" width="31.140625" bestFit="1" customWidth="1"/>
    <col min="10" max="10" width="29.42578125" bestFit="1" customWidth="1"/>
    <col min="11" max="11" width="12" bestFit="1" customWidth="1"/>
    <col min="12" max="12" width="18.85546875" bestFit="1" customWidth="1"/>
    <col min="13" max="13" width="20.28515625" bestFit="1" customWidth="1"/>
    <col min="14" max="14" width="31.5703125" bestFit="1" customWidth="1"/>
    <col min="15" max="15" width="12.42578125" bestFit="1" customWidth="1"/>
    <col min="16" max="16" width="28" bestFit="1" customWidth="1"/>
    <col min="17" max="17" width="25.7109375" bestFit="1" customWidth="1"/>
    <col min="18" max="18" width="24.8554687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s="1" t="s">
        <v>21</v>
      </c>
      <c r="B2">
        <v>8028</v>
      </c>
      <c r="C2">
        <v>21413</v>
      </c>
      <c r="D2">
        <v>2.6672894899999999</v>
      </c>
      <c r="E2" s="1" t="s">
        <v>12</v>
      </c>
      <c r="F2">
        <v>0.94456521999999998</v>
      </c>
      <c r="G2" s="2">
        <v>46036</v>
      </c>
      <c r="H2" s="2">
        <v>46051</v>
      </c>
      <c r="I2">
        <v>0.11434211</v>
      </c>
      <c r="J2">
        <v>2.0291411799999999</v>
      </c>
      <c r="K2">
        <v>5.3939195800000004</v>
      </c>
      <c r="L2">
        <v>380</v>
      </c>
      <c r="M2">
        <v>46</v>
      </c>
      <c r="N2">
        <v>0.96555555999999998</v>
      </c>
      <c r="O2">
        <v>46</v>
      </c>
      <c r="P2">
        <v>43.45</v>
      </c>
      <c r="Q2" s="2">
        <v>46023</v>
      </c>
      <c r="R2" s="2">
        <v>46170</v>
      </c>
    </row>
    <row r="3" spans="1:18" x14ac:dyDescent="0.25">
      <c r="A3" s="1" t="s">
        <v>21</v>
      </c>
      <c r="B3">
        <v>7164</v>
      </c>
      <c r="C3">
        <v>16662</v>
      </c>
      <c r="D3">
        <v>2.3257956399999999</v>
      </c>
      <c r="E3" s="1" t="s">
        <v>12</v>
      </c>
      <c r="F3">
        <v>1.1619444400000001</v>
      </c>
      <c r="G3" s="2">
        <v>46052</v>
      </c>
      <c r="H3" s="2">
        <v>46067</v>
      </c>
      <c r="I3">
        <v>0.16150579000000001</v>
      </c>
      <c r="J3">
        <v>2.5105029399999998</v>
      </c>
      <c r="K3">
        <v>5.3715040199999997</v>
      </c>
      <c r="L3">
        <v>259</v>
      </c>
      <c r="M3">
        <v>36</v>
      </c>
      <c r="N3">
        <v>1.1619444400000001</v>
      </c>
      <c r="O3">
        <v>36</v>
      </c>
      <c r="P3">
        <v>41.83</v>
      </c>
      <c r="Q3" s="2">
        <v>46023</v>
      </c>
      <c r="R3" s="2">
        <v>46170</v>
      </c>
    </row>
    <row r="4" spans="1:18" x14ac:dyDescent="0.25">
      <c r="A4" s="1" t="s">
        <v>22</v>
      </c>
      <c r="B4">
        <v>7675</v>
      </c>
      <c r="C4">
        <v>16675</v>
      </c>
      <c r="D4">
        <v>2.1726384400000001</v>
      </c>
      <c r="E4" s="1" t="s">
        <v>12</v>
      </c>
      <c r="F4">
        <v>1.3040624999999999</v>
      </c>
      <c r="G4" s="2">
        <v>46071</v>
      </c>
      <c r="H4" s="2">
        <v>46086</v>
      </c>
      <c r="I4">
        <v>0.17533613000000001</v>
      </c>
      <c r="J4">
        <v>2.50254873</v>
      </c>
      <c r="K4">
        <v>6.1109445300000003</v>
      </c>
      <c r="L4">
        <v>238</v>
      </c>
      <c r="M4">
        <v>32</v>
      </c>
      <c r="N4">
        <v>1.26454545</v>
      </c>
      <c r="O4">
        <v>32</v>
      </c>
      <c r="P4">
        <v>41.73</v>
      </c>
      <c r="Q4" s="2">
        <v>46023</v>
      </c>
      <c r="R4" s="2">
        <v>46170</v>
      </c>
    </row>
    <row r="5" spans="1:18" x14ac:dyDescent="0.25">
      <c r="A5" s="1" t="s">
        <v>23</v>
      </c>
      <c r="B5">
        <v>6041</v>
      </c>
      <c r="C5">
        <v>17872</v>
      </c>
      <c r="D5">
        <v>2.95845059</v>
      </c>
      <c r="E5" s="1" t="s">
        <v>12</v>
      </c>
      <c r="F5">
        <v>1.7303846199999999</v>
      </c>
      <c r="G5" s="2">
        <v>46086</v>
      </c>
      <c r="H5" s="2">
        <v>46097</v>
      </c>
      <c r="I5">
        <v>0.23804233</v>
      </c>
      <c r="J5">
        <v>2.5173455699999998</v>
      </c>
      <c r="K5">
        <v>4.0734109199999997</v>
      </c>
      <c r="L5">
        <v>189</v>
      </c>
      <c r="M5">
        <v>26</v>
      </c>
      <c r="N5">
        <v>1.7303846199999999</v>
      </c>
      <c r="O5">
        <v>26</v>
      </c>
      <c r="P5">
        <v>44.99</v>
      </c>
      <c r="Q5" s="2">
        <v>46023</v>
      </c>
      <c r="R5" s="2">
        <v>46170</v>
      </c>
    </row>
    <row r="6" spans="1:18" x14ac:dyDescent="0.25">
      <c r="A6" s="1" t="s">
        <v>21</v>
      </c>
      <c r="B6">
        <v>10979</v>
      </c>
      <c r="C6">
        <v>25505</v>
      </c>
      <c r="D6">
        <v>2.3230713199999999</v>
      </c>
      <c r="E6" s="1" t="s">
        <v>12</v>
      </c>
      <c r="F6">
        <v>0.77517857000000001</v>
      </c>
      <c r="G6" s="2">
        <v>46099</v>
      </c>
      <c r="H6" s="2">
        <v>46114</v>
      </c>
      <c r="I6">
        <v>7.5627180000000002E-2</v>
      </c>
      <c r="J6">
        <v>1.70201921</v>
      </c>
      <c r="K6">
        <v>5.8419917699999999</v>
      </c>
      <c r="L6">
        <v>574</v>
      </c>
      <c r="M6">
        <v>56</v>
      </c>
      <c r="N6">
        <v>0.78927272999999998</v>
      </c>
      <c r="O6">
        <v>56</v>
      </c>
      <c r="P6">
        <v>43.41</v>
      </c>
      <c r="Q6" s="2">
        <v>46023</v>
      </c>
      <c r="R6" s="2">
        <v>46170</v>
      </c>
    </row>
    <row r="7" spans="1:18" x14ac:dyDescent="0.25">
      <c r="A7" s="1" t="s">
        <v>20</v>
      </c>
      <c r="B7">
        <v>12454</v>
      </c>
      <c r="C7">
        <v>25607</v>
      </c>
      <c r="D7">
        <v>2.0561265500000001</v>
      </c>
      <c r="E7" s="1" t="s">
        <v>12</v>
      </c>
      <c r="F7">
        <v>1.2303124999999999</v>
      </c>
      <c r="G7" s="2">
        <v>46114</v>
      </c>
      <c r="H7" s="2">
        <v>46126</v>
      </c>
      <c r="I7">
        <v>0.17575893000000001</v>
      </c>
      <c r="J7">
        <v>1.5374702200000001</v>
      </c>
      <c r="K7">
        <v>3.7411645299999998</v>
      </c>
      <c r="L7">
        <v>224</v>
      </c>
      <c r="M7">
        <v>32</v>
      </c>
      <c r="N7">
        <v>1.2303124999999999</v>
      </c>
      <c r="O7">
        <v>32</v>
      </c>
      <c r="P7">
        <v>39.369999999999997</v>
      </c>
      <c r="Q7" s="2">
        <v>46023</v>
      </c>
      <c r="R7" s="2">
        <v>46170</v>
      </c>
    </row>
    <row r="8" spans="1:18" x14ac:dyDescent="0.25">
      <c r="A8" s="1" t="s">
        <v>22</v>
      </c>
      <c r="B8">
        <v>7279</v>
      </c>
      <c r="C8">
        <v>18080</v>
      </c>
      <c r="D8">
        <v>2.4838576699999999</v>
      </c>
      <c r="E8" s="1" t="s">
        <v>12</v>
      </c>
      <c r="F8">
        <v>1.0175609800000001</v>
      </c>
      <c r="G8" s="2">
        <v>46128</v>
      </c>
      <c r="H8" s="2">
        <v>46143</v>
      </c>
      <c r="I8">
        <v>0.17603376000000001</v>
      </c>
      <c r="J8">
        <v>2.3075221199999998</v>
      </c>
      <c r="K8">
        <v>5.2488938100000002</v>
      </c>
      <c r="L8">
        <v>237</v>
      </c>
      <c r="M8">
        <v>41</v>
      </c>
      <c r="N8">
        <v>1.0697435900000001</v>
      </c>
      <c r="O8">
        <v>41</v>
      </c>
      <c r="P8">
        <v>41.72</v>
      </c>
      <c r="Q8" s="2">
        <v>46023</v>
      </c>
      <c r="R8" s="2">
        <v>46170</v>
      </c>
    </row>
    <row r="9" spans="1:18" x14ac:dyDescent="0.25">
      <c r="A9" s="1" t="s">
        <v>21</v>
      </c>
      <c r="B9">
        <v>9444</v>
      </c>
      <c r="C9">
        <v>22542</v>
      </c>
      <c r="D9">
        <v>2.3869123299999999</v>
      </c>
      <c r="E9" s="1" t="s">
        <v>12</v>
      </c>
      <c r="F9">
        <v>1.1324324299999999</v>
      </c>
      <c r="G9" s="2">
        <v>46144</v>
      </c>
      <c r="H9" s="2">
        <v>46158</v>
      </c>
      <c r="I9">
        <v>9.8820749999999999E-2</v>
      </c>
      <c r="J9">
        <v>1.8587525499999999</v>
      </c>
      <c r="K9">
        <v>4.6535356200000004</v>
      </c>
      <c r="L9">
        <v>424</v>
      </c>
      <c r="M9">
        <v>37</v>
      </c>
      <c r="N9">
        <v>1.1026315799999999</v>
      </c>
      <c r="O9">
        <v>37</v>
      </c>
      <c r="P9">
        <v>41.9</v>
      </c>
      <c r="Q9" s="2">
        <v>46023</v>
      </c>
      <c r="R9" s="2">
        <v>46170</v>
      </c>
    </row>
    <row r="10" spans="1:18" x14ac:dyDescent="0.25">
      <c r="A10" s="1" t="s">
        <v>24</v>
      </c>
      <c r="B10">
        <v>3748</v>
      </c>
      <c r="C10">
        <v>5284</v>
      </c>
      <c r="D10">
        <v>1.4098185700000001</v>
      </c>
      <c r="E10" s="1" t="s">
        <v>12</v>
      </c>
      <c r="F10">
        <v>1.782</v>
      </c>
      <c r="G10" s="2">
        <v>46160</v>
      </c>
      <c r="H10" s="2">
        <v>46175</v>
      </c>
      <c r="I10">
        <v>0.16811321000000001</v>
      </c>
      <c r="J10">
        <v>1.68622256</v>
      </c>
      <c r="K10">
        <v>4.1256623799999996</v>
      </c>
      <c r="L10">
        <v>53</v>
      </c>
      <c r="M10">
        <v>5</v>
      </c>
      <c r="N10">
        <v>1.782</v>
      </c>
      <c r="O10">
        <v>5</v>
      </c>
      <c r="P10">
        <v>8.91</v>
      </c>
      <c r="Q10" s="2">
        <v>46023</v>
      </c>
      <c r="R10" s="2">
        <v>46170</v>
      </c>
    </row>
    <row r="11" spans="1:18" x14ac:dyDescent="0.25">
      <c r="A11" s="1" t="s">
        <v>21</v>
      </c>
      <c r="B11">
        <v>5907</v>
      </c>
      <c r="C11">
        <v>9787</v>
      </c>
      <c r="D11">
        <v>1.6568478099999999</v>
      </c>
      <c r="E11" s="1" t="s">
        <v>12</v>
      </c>
      <c r="F11">
        <v>1.1763157900000001</v>
      </c>
      <c r="G11" s="2">
        <v>46163</v>
      </c>
      <c r="H11" s="2">
        <v>46173</v>
      </c>
      <c r="I11">
        <v>0.16555555999999999</v>
      </c>
      <c r="J11">
        <v>2.2836415699999999</v>
      </c>
      <c r="K11">
        <v>4.4140186000000003</v>
      </c>
      <c r="L11">
        <v>135</v>
      </c>
      <c r="M11">
        <v>19</v>
      </c>
      <c r="N11">
        <v>1.2416666700000001</v>
      </c>
      <c r="O11">
        <v>19</v>
      </c>
      <c r="P11">
        <v>22.35</v>
      </c>
      <c r="Q11" s="2">
        <v>46023</v>
      </c>
      <c r="R11" s="2">
        <v>46170</v>
      </c>
    </row>
    <row r="12" spans="1:18" x14ac:dyDescent="0.25">
      <c r="A12" s="1" t="s">
        <v>18</v>
      </c>
      <c r="B12">
        <v>52332</v>
      </c>
      <c r="C12">
        <v>199963</v>
      </c>
      <c r="D12">
        <v>3.8210464000000002</v>
      </c>
      <c r="E12" s="1" t="s">
        <v>19</v>
      </c>
      <c r="G12" s="2"/>
      <c r="H12" s="2"/>
      <c r="I12">
        <v>0.13811702000000001</v>
      </c>
      <c r="J12">
        <v>1.94781034</v>
      </c>
      <c r="K12">
        <v>4.5518420900000001</v>
      </c>
      <c r="L12">
        <v>2820</v>
      </c>
      <c r="M12">
        <v>340</v>
      </c>
      <c r="N12">
        <v>1.2058513900000001</v>
      </c>
      <c r="P12">
        <v>389.49</v>
      </c>
      <c r="Q12" s="2">
        <v>46023</v>
      </c>
      <c r="R12" s="2">
        <v>46170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9441A-279D-4947-B4AD-5BDC5B3A81A5}">
  <dimension ref="A3:H19"/>
  <sheetViews>
    <sheetView zoomScaleNormal="100" workbookViewId="0">
      <selection activeCell="E3" sqref="E3"/>
    </sheetView>
  </sheetViews>
  <sheetFormatPr defaultRowHeight="15" x14ac:dyDescent="0.25"/>
  <cols>
    <col min="1" max="1" width="13.42578125" bestFit="1" customWidth="1"/>
    <col min="2" max="2" width="32.5703125" bestFit="1" customWidth="1"/>
    <col min="3" max="4" width="24.85546875" bestFit="1" customWidth="1"/>
    <col min="5" max="5" width="35.85546875" bestFit="1" customWidth="1"/>
    <col min="6" max="6" width="32.7109375" customWidth="1"/>
    <col min="7" max="7" width="35.85546875" bestFit="1" customWidth="1"/>
    <col min="8" max="8" width="25.7109375" customWidth="1"/>
    <col min="9" max="9" width="72" bestFit="1" customWidth="1"/>
    <col min="10" max="10" width="74" bestFit="1" customWidth="1"/>
    <col min="11" max="11" width="72.28515625" bestFit="1" customWidth="1"/>
    <col min="12" max="12" width="63.42578125" bestFit="1" customWidth="1"/>
    <col min="13" max="13" width="38.140625" bestFit="1" customWidth="1"/>
    <col min="14" max="14" width="17" bestFit="1" customWidth="1"/>
    <col min="15" max="15" width="72" bestFit="1" customWidth="1"/>
    <col min="16" max="16" width="74" bestFit="1" customWidth="1"/>
    <col min="17" max="17" width="72.28515625" bestFit="1" customWidth="1"/>
    <col min="18" max="18" width="63.42578125" bestFit="1" customWidth="1"/>
    <col min="19" max="19" width="38.140625" bestFit="1" customWidth="1"/>
    <col min="20" max="21" width="30" bestFit="1" customWidth="1"/>
    <col min="22" max="22" width="22.140625" bestFit="1" customWidth="1"/>
  </cols>
  <sheetData>
    <row r="3" spans="1:8" x14ac:dyDescent="0.25">
      <c r="A3" s="3" t="s">
        <v>25</v>
      </c>
      <c r="B3" t="s">
        <v>44</v>
      </c>
      <c r="C3" t="s">
        <v>28</v>
      </c>
      <c r="D3" t="s">
        <v>27</v>
      </c>
      <c r="E3" t="s">
        <v>25</v>
      </c>
      <c r="F3" t="s">
        <v>44</v>
      </c>
      <c r="G3" t="s">
        <v>28</v>
      </c>
      <c r="H3" t="s">
        <v>27</v>
      </c>
    </row>
    <row r="4" spans="1:8" x14ac:dyDescent="0.25">
      <c r="A4" s="4" t="s">
        <v>29</v>
      </c>
      <c r="B4" s="1">
        <v>85.28</v>
      </c>
      <c r="C4" s="1">
        <v>82</v>
      </c>
      <c r="D4" s="1">
        <v>2.10650966</v>
      </c>
      <c r="E4" t="s">
        <v>29</v>
      </c>
      <c r="F4">
        <v>85.28</v>
      </c>
      <c r="G4">
        <v>82</v>
      </c>
      <c r="H4" s="6">
        <v>2.10650966</v>
      </c>
    </row>
    <row r="5" spans="1:8" x14ac:dyDescent="0.25">
      <c r="A5" s="5" t="s">
        <v>34</v>
      </c>
      <c r="B5" s="1">
        <v>43.45</v>
      </c>
      <c r="C5" s="1">
        <v>46</v>
      </c>
      <c r="D5" s="1">
        <v>0.94456521999999998</v>
      </c>
      <c r="E5" t="s">
        <v>34</v>
      </c>
      <c r="F5">
        <v>43.45</v>
      </c>
      <c r="G5">
        <v>46</v>
      </c>
      <c r="H5" s="6">
        <v>0.94456521999999998</v>
      </c>
    </row>
    <row r="6" spans="1:8" x14ac:dyDescent="0.25">
      <c r="A6" s="5" t="s">
        <v>35</v>
      </c>
      <c r="B6" s="1">
        <v>41.83</v>
      </c>
      <c r="C6" s="1">
        <v>36</v>
      </c>
      <c r="D6" s="1">
        <v>1.1619444400000001</v>
      </c>
      <c r="E6" t="s">
        <v>35</v>
      </c>
      <c r="F6">
        <v>41.83</v>
      </c>
      <c r="G6">
        <v>36</v>
      </c>
      <c r="H6" s="6">
        <v>1.1619444400000001</v>
      </c>
    </row>
    <row r="7" spans="1:8" x14ac:dyDescent="0.25">
      <c r="A7" s="4" t="s">
        <v>30</v>
      </c>
      <c r="B7" s="1">
        <v>41.73</v>
      </c>
      <c r="C7" s="1">
        <v>32</v>
      </c>
      <c r="D7" s="1">
        <v>1.3040624999999999</v>
      </c>
      <c r="E7" t="s">
        <v>30</v>
      </c>
      <c r="F7">
        <v>41.73</v>
      </c>
      <c r="G7">
        <v>32</v>
      </c>
      <c r="H7" s="6">
        <v>1.3040624999999999</v>
      </c>
    </row>
    <row r="8" spans="1:8" x14ac:dyDescent="0.25">
      <c r="A8" s="5" t="s">
        <v>36</v>
      </c>
      <c r="B8" s="1">
        <v>41.73</v>
      </c>
      <c r="C8" s="1">
        <v>32</v>
      </c>
      <c r="D8" s="1">
        <v>1.3040624999999999</v>
      </c>
      <c r="E8" t="s">
        <v>36</v>
      </c>
      <c r="F8">
        <v>41.73</v>
      </c>
      <c r="G8">
        <v>32</v>
      </c>
      <c r="H8" s="6">
        <v>1.3040624999999999</v>
      </c>
    </row>
    <row r="9" spans="1:8" x14ac:dyDescent="0.25">
      <c r="A9" s="4" t="s">
        <v>31</v>
      </c>
      <c r="B9" s="1">
        <v>88.4</v>
      </c>
      <c r="C9" s="1">
        <v>82</v>
      </c>
      <c r="D9" s="1">
        <v>2.5055631900000002</v>
      </c>
      <c r="E9" t="s">
        <v>31</v>
      </c>
      <c r="F9">
        <v>88.4</v>
      </c>
      <c r="G9">
        <v>82</v>
      </c>
      <c r="H9" s="6">
        <v>2.5055631900000002</v>
      </c>
    </row>
    <row r="10" spans="1:8" x14ac:dyDescent="0.25">
      <c r="A10" s="5" t="s">
        <v>37</v>
      </c>
      <c r="B10" s="1">
        <v>44.99</v>
      </c>
      <c r="C10" s="1">
        <v>26</v>
      </c>
      <c r="D10" s="1">
        <v>1.7303846199999999</v>
      </c>
      <c r="E10" t="s">
        <v>37</v>
      </c>
      <c r="F10">
        <v>44.99</v>
      </c>
      <c r="G10">
        <v>26</v>
      </c>
      <c r="H10" s="6">
        <v>1.7303846199999999</v>
      </c>
    </row>
    <row r="11" spans="1:8" x14ac:dyDescent="0.25">
      <c r="A11" s="5" t="s">
        <v>38</v>
      </c>
      <c r="B11" s="1">
        <v>43.41</v>
      </c>
      <c r="C11" s="1">
        <v>56</v>
      </c>
      <c r="D11" s="1">
        <v>0.77517857000000001</v>
      </c>
      <c r="E11" t="s">
        <v>38</v>
      </c>
      <c r="F11">
        <v>43.41</v>
      </c>
      <c r="G11">
        <v>56</v>
      </c>
      <c r="H11" s="6">
        <v>0.77517857000000001</v>
      </c>
    </row>
    <row r="12" spans="1:8" x14ac:dyDescent="0.25">
      <c r="A12" s="4" t="s">
        <v>32</v>
      </c>
      <c r="B12" s="1">
        <v>81.09</v>
      </c>
      <c r="C12" s="1">
        <v>73</v>
      </c>
      <c r="D12" s="1">
        <v>2.24787348</v>
      </c>
      <c r="E12" t="s">
        <v>32</v>
      </c>
      <c r="F12">
        <v>81.09</v>
      </c>
      <c r="G12">
        <v>73</v>
      </c>
      <c r="H12" s="6">
        <v>2.24787348</v>
      </c>
    </row>
    <row r="13" spans="1:8" x14ac:dyDescent="0.25">
      <c r="A13" s="5" t="s">
        <v>39</v>
      </c>
      <c r="B13" s="1">
        <v>39.369999999999997</v>
      </c>
      <c r="C13" s="1">
        <v>32</v>
      </c>
      <c r="D13" s="1">
        <v>1.2303124999999999</v>
      </c>
      <c r="E13" t="s">
        <v>39</v>
      </c>
      <c r="F13">
        <v>39.369999999999997</v>
      </c>
      <c r="G13">
        <v>32</v>
      </c>
      <c r="H13" s="6">
        <v>1.2303124999999999</v>
      </c>
    </row>
    <row r="14" spans="1:8" x14ac:dyDescent="0.25">
      <c r="A14" s="5" t="s">
        <v>40</v>
      </c>
      <c r="B14" s="1">
        <v>41.72</v>
      </c>
      <c r="C14" s="1">
        <v>41</v>
      </c>
      <c r="D14" s="1">
        <v>1.0175609800000001</v>
      </c>
      <c r="E14" t="s">
        <v>40</v>
      </c>
      <c r="F14">
        <v>41.72</v>
      </c>
      <c r="G14">
        <v>41</v>
      </c>
      <c r="H14" s="6">
        <v>1.0175609800000001</v>
      </c>
    </row>
    <row r="15" spans="1:8" x14ac:dyDescent="0.25">
      <c r="A15" s="4" t="s">
        <v>33</v>
      </c>
      <c r="B15" s="1">
        <v>73.16</v>
      </c>
      <c r="C15" s="1">
        <v>61</v>
      </c>
      <c r="D15" s="1">
        <v>4.09074822</v>
      </c>
      <c r="E15" t="s">
        <v>33</v>
      </c>
      <c r="F15">
        <v>73.16</v>
      </c>
      <c r="G15">
        <v>61</v>
      </c>
      <c r="H15" s="6">
        <v>4.09074822</v>
      </c>
    </row>
    <row r="16" spans="1:8" x14ac:dyDescent="0.25">
      <c r="A16" s="5" t="s">
        <v>41</v>
      </c>
      <c r="B16" s="1">
        <v>41.9</v>
      </c>
      <c r="C16" s="1">
        <v>37</v>
      </c>
      <c r="D16" s="1">
        <v>1.1324324299999999</v>
      </c>
      <c r="E16" t="s">
        <v>41</v>
      </c>
      <c r="F16">
        <v>41.9</v>
      </c>
      <c r="G16">
        <v>37</v>
      </c>
      <c r="H16" s="6">
        <v>1.1324324299999999</v>
      </c>
    </row>
    <row r="17" spans="1:8" x14ac:dyDescent="0.25">
      <c r="A17" s="5" t="s">
        <v>42</v>
      </c>
      <c r="B17" s="1">
        <v>8.91</v>
      </c>
      <c r="C17" s="1">
        <v>5</v>
      </c>
      <c r="D17" s="1">
        <v>1.782</v>
      </c>
      <c r="E17" t="s">
        <v>42</v>
      </c>
      <c r="F17">
        <v>8.91</v>
      </c>
      <c r="G17">
        <v>5</v>
      </c>
      <c r="H17" s="6">
        <v>1.782</v>
      </c>
    </row>
    <row r="18" spans="1:8" x14ac:dyDescent="0.25">
      <c r="A18" s="5" t="s">
        <v>43</v>
      </c>
      <c r="B18" s="1">
        <v>22.35</v>
      </c>
      <c r="C18" s="1">
        <v>19</v>
      </c>
      <c r="D18" s="1">
        <v>1.1763157900000001</v>
      </c>
      <c r="E18" t="s">
        <v>43</v>
      </c>
      <c r="F18">
        <v>22.35</v>
      </c>
      <c r="G18">
        <v>19</v>
      </c>
      <c r="H18" s="6">
        <v>1.1763157900000001</v>
      </c>
    </row>
    <row r="19" spans="1:8" x14ac:dyDescent="0.25">
      <c r="A19" s="4" t="s">
        <v>26</v>
      </c>
      <c r="B19" s="1">
        <v>369.66</v>
      </c>
      <c r="C19" s="1">
        <v>330</v>
      </c>
      <c r="D19" s="1">
        <v>12.25475705</v>
      </c>
      <c r="E19" t="s">
        <v>26</v>
      </c>
      <c r="F19">
        <v>369.66</v>
      </c>
      <c r="G19">
        <v>330</v>
      </c>
      <c r="H19" s="6">
        <v>12.25475705</v>
      </c>
    </row>
  </sheetData>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8025AB-D317-4DF8-A267-6844E21310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Отчет-MetaAds-1-2026-м</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Narek Avetisyan</dc:creator>
  <cp:lastModifiedBy>Narek Avetisyan</cp:lastModifiedBy>
  <dcterms:created xsi:type="dcterms:W3CDTF">2026-05-28T12:55:57Z</dcterms:created>
  <dcterms:modified xsi:type="dcterms:W3CDTF">2026-05-28T19:12:18Z</dcterms:modified>
</cp:coreProperties>
</file>